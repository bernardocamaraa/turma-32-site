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amentos" sheetId="1" state="visible" r:id="rId1"/>
  </sheets>
  <definedNames>
    <definedName name="_xlnm._FilterDatabase" localSheetId="0" hidden="1">'Pagamentos'!$A$4:$F$36</definedName>
    <definedName name="_xlnm.Print_Titles" localSheetId="0">'Pagamentos'!$4:$4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-R$ #,##0.00;-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165" fontId="4" fillId="3" borderId="1" applyAlignment="1" pivotButton="0" quotePrefix="0" xfId="0">
      <alignment horizontal="center"/>
    </xf>
    <xf numFmtId="0" fontId="4" fillId="3" borderId="1" pivotButton="0" quotePrefix="0" xfId="0"/>
    <xf numFmtId="1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7" customWidth="1" min="4" max="4"/>
    <col width="19" customWidth="1" min="5" max="5"/>
    <col width="34" customWidth="1" min="6" max="6"/>
    <col width="3" customWidth="1" min="7" max="7"/>
    <col width="20" customWidth="1" min="8" max="8"/>
    <col width="16" customWidth="1" min="9" max="9"/>
  </cols>
  <sheetData>
    <row r="1">
      <c r="A1" s="1" t="inlineStr">
        <is>
          <t>Turma 32 - Controle de pagamentos dos formandos</t>
        </is>
      </c>
    </row>
    <row r="2">
      <c r="A2" s="2" t="inlineStr">
        <is>
          <t>Preencha só as células amarelas: "Pagou?" (escolha Sim ou Não), valor, data e observações.</t>
        </is>
      </c>
    </row>
    <row r="4">
      <c r="A4" s="3" t="inlineStr">
        <is>
          <t>Nº</t>
        </is>
      </c>
      <c r="B4" s="3" t="inlineStr">
        <is>
          <t>Formando</t>
        </is>
      </c>
      <c r="C4" s="3" t="inlineStr">
        <is>
          <t>Pagou?</t>
        </is>
      </c>
      <c r="D4" s="3" t="inlineStr">
        <is>
          <t>Valor pago (R$)</t>
        </is>
      </c>
      <c r="E4" s="3" t="inlineStr">
        <is>
          <t>Data do pagamento</t>
        </is>
      </c>
      <c r="F4" s="3" t="inlineStr">
        <is>
          <t>Observações</t>
        </is>
      </c>
      <c r="H4" s="4" t="inlineStr">
        <is>
          <t>Resumo</t>
        </is>
      </c>
      <c r="I4" s="5" t="n"/>
    </row>
    <row r="5">
      <c r="A5" s="6" t="n">
        <v>1</v>
      </c>
      <c r="B5" s="7" t="inlineStr">
        <is>
          <t>Anna Carolina Russo</t>
        </is>
      </c>
      <c r="C5" s="8" t="inlineStr">
        <is>
          <t>Não</t>
        </is>
      </c>
      <c r="D5" s="9" t="n"/>
      <c r="E5" s="10" t="n"/>
      <c r="F5" s="11" t="n"/>
      <c r="H5" s="7" t="inlineStr">
        <is>
          <t>Total de formandos</t>
        </is>
      </c>
      <c r="I5" s="12">
        <f>COUNTA(B5:B36)</f>
        <v/>
      </c>
    </row>
    <row r="6">
      <c r="A6" s="6" t="n">
        <v>2</v>
      </c>
      <c r="B6" s="7" t="inlineStr">
        <is>
          <t>Anna Clara Ribeiro</t>
        </is>
      </c>
      <c r="C6" s="8" t="inlineStr">
        <is>
          <t>Não</t>
        </is>
      </c>
      <c r="D6" s="9" t="n"/>
      <c r="E6" s="10" t="n"/>
      <c r="F6" s="11" t="n"/>
      <c r="H6" s="7" t="inlineStr">
        <is>
          <t>Pagaram</t>
        </is>
      </c>
      <c r="I6" s="12">
        <f>COUNTIF(C5:C36,"Sim")</f>
        <v/>
      </c>
    </row>
    <row r="7">
      <c r="A7" s="6" t="n">
        <v>3</v>
      </c>
      <c r="B7" s="7" t="inlineStr">
        <is>
          <t>Arthur Caetano</t>
        </is>
      </c>
      <c r="C7" s="8" t="inlineStr">
        <is>
          <t>Não</t>
        </is>
      </c>
      <c r="D7" s="9" t="n"/>
      <c r="E7" s="10" t="n"/>
      <c r="F7" s="11" t="n"/>
      <c r="H7" s="7" t="inlineStr">
        <is>
          <t>Não pagaram</t>
        </is>
      </c>
      <c r="I7" s="12">
        <f>COUNTIF(C5:C36,"Não")</f>
        <v/>
      </c>
    </row>
    <row r="8">
      <c r="A8" s="6" t="n">
        <v>4</v>
      </c>
      <c r="B8" s="7" t="inlineStr">
        <is>
          <t>Arthur Oliveira</t>
        </is>
      </c>
      <c r="C8" s="8" t="inlineStr">
        <is>
          <t>Não</t>
        </is>
      </c>
      <c r="D8" s="9" t="n"/>
      <c r="E8" s="10" t="n"/>
      <c r="F8" s="11" t="n"/>
      <c r="H8" s="7" t="inlineStr">
        <is>
          <t>% que pagou</t>
        </is>
      </c>
      <c r="I8" s="13">
        <f>IF(I5=0,0,I6/I5)</f>
        <v/>
      </c>
    </row>
    <row r="9">
      <c r="A9" s="6" t="n">
        <v>5</v>
      </c>
      <c r="B9" s="7" t="inlineStr">
        <is>
          <t>Bernardo Câmara</t>
        </is>
      </c>
      <c r="C9" s="8" t="inlineStr">
        <is>
          <t>Não</t>
        </is>
      </c>
      <c r="D9" s="9" t="n"/>
      <c r="E9" s="10" t="n"/>
      <c r="F9" s="11" t="n"/>
      <c r="H9" s="7" t="inlineStr">
        <is>
          <t>Total arrecadado</t>
        </is>
      </c>
      <c r="I9" s="14">
        <f>SUM(D5:D36)</f>
        <v/>
      </c>
    </row>
    <row r="10">
      <c r="A10" s="6" t="n">
        <v>6</v>
      </c>
      <c r="B10" s="7" t="inlineStr">
        <is>
          <t>Bernardo Ignácio</t>
        </is>
      </c>
      <c r="C10" s="8" t="inlineStr">
        <is>
          <t>Não</t>
        </is>
      </c>
      <c r="D10" s="9" t="n"/>
      <c r="E10" s="10" t="n"/>
      <c r="F10" s="11" t="n"/>
    </row>
    <row r="11">
      <c r="A11" s="6" t="n">
        <v>7</v>
      </c>
      <c r="B11" s="7" t="inlineStr">
        <is>
          <t>Caio Bezerra</t>
        </is>
      </c>
      <c r="C11" s="8" t="inlineStr">
        <is>
          <t>Não</t>
        </is>
      </c>
      <c r="D11" s="9" t="n"/>
      <c r="E11" s="10" t="n"/>
      <c r="F11" s="11" t="n"/>
    </row>
    <row r="12">
      <c r="A12" s="6" t="n">
        <v>8</v>
      </c>
      <c r="B12" s="7" t="inlineStr">
        <is>
          <t>Carolina Warrak</t>
        </is>
      </c>
      <c r="C12" s="8" t="inlineStr">
        <is>
          <t>Não</t>
        </is>
      </c>
      <c r="D12" s="9" t="n"/>
      <c r="E12" s="10" t="n"/>
      <c r="F12" s="11" t="n"/>
    </row>
    <row r="13">
      <c r="A13" s="6" t="n">
        <v>9</v>
      </c>
      <c r="B13" s="7" t="inlineStr">
        <is>
          <t>Enzo Louro</t>
        </is>
      </c>
      <c r="C13" s="8" t="inlineStr">
        <is>
          <t>Não</t>
        </is>
      </c>
      <c r="D13" s="9" t="n"/>
      <c r="E13" s="10" t="n"/>
      <c r="F13" s="11" t="n"/>
    </row>
    <row r="14">
      <c r="A14" s="6" t="n">
        <v>10</v>
      </c>
      <c r="B14" s="7" t="inlineStr">
        <is>
          <t>Geovanna Russo</t>
        </is>
      </c>
      <c r="C14" s="8" t="inlineStr">
        <is>
          <t>Não</t>
        </is>
      </c>
      <c r="D14" s="9" t="n"/>
      <c r="E14" s="10" t="n"/>
      <c r="F14" s="11" t="n"/>
    </row>
    <row r="15">
      <c r="A15" s="6" t="n">
        <v>11</v>
      </c>
      <c r="B15" s="7" t="inlineStr">
        <is>
          <t>Guilherme Warrak</t>
        </is>
      </c>
      <c r="C15" s="8" t="inlineStr">
        <is>
          <t>Não</t>
        </is>
      </c>
      <c r="D15" s="9" t="n"/>
      <c r="E15" s="10" t="n"/>
      <c r="F15" s="11" t="n"/>
    </row>
    <row r="16">
      <c r="A16" s="6" t="n">
        <v>12</v>
      </c>
      <c r="B16" s="7" t="inlineStr">
        <is>
          <t>Isabella Guimarães</t>
        </is>
      </c>
      <c r="C16" s="8" t="inlineStr">
        <is>
          <t>Não</t>
        </is>
      </c>
      <c r="D16" s="9" t="n"/>
      <c r="E16" s="10" t="n"/>
      <c r="F16" s="11" t="n"/>
    </row>
    <row r="17">
      <c r="A17" s="6" t="n">
        <v>13</v>
      </c>
      <c r="B17" s="7" t="inlineStr">
        <is>
          <t>Isabella Monteiro</t>
        </is>
      </c>
      <c r="C17" s="8" t="inlineStr">
        <is>
          <t>Não</t>
        </is>
      </c>
      <c r="D17" s="9" t="n"/>
      <c r="E17" s="10" t="n"/>
      <c r="F17" s="11" t="n"/>
    </row>
    <row r="18">
      <c r="A18" s="6" t="n">
        <v>14</v>
      </c>
      <c r="B18" s="7" t="inlineStr">
        <is>
          <t>João Pedro Jardim</t>
        </is>
      </c>
      <c r="C18" s="8" t="inlineStr">
        <is>
          <t>Não</t>
        </is>
      </c>
      <c r="D18" s="9" t="n"/>
      <c r="E18" s="10" t="n"/>
      <c r="F18" s="11" t="n"/>
    </row>
    <row r="19">
      <c r="A19" s="6" t="n">
        <v>15</v>
      </c>
      <c r="B19" s="7" t="inlineStr">
        <is>
          <t>Laís Boldrim</t>
        </is>
      </c>
      <c r="C19" s="8" t="inlineStr">
        <is>
          <t>Não</t>
        </is>
      </c>
      <c r="D19" s="9" t="n"/>
      <c r="E19" s="10" t="n"/>
      <c r="F19" s="11" t="n"/>
    </row>
    <row r="20">
      <c r="A20" s="6" t="n">
        <v>16</v>
      </c>
      <c r="B20" s="7" t="inlineStr">
        <is>
          <t>Laura Viana</t>
        </is>
      </c>
      <c r="C20" s="8" t="inlineStr">
        <is>
          <t>Não</t>
        </is>
      </c>
      <c r="D20" s="9" t="n"/>
      <c r="E20" s="10" t="n"/>
      <c r="F20" s="11" t="n"/>
    </row>
    <row r="21">
      <c r="A21" s="6" t="n">
        <v>17</v>
      </c>
      <c r="B21" s="7" t="inlineStr">
        <is>
          <t>Lívia Whitaker</t>
        </is>
      </c>
      <c r="C21" s="8" t="inlineStr">
        <is>
          <t>Não</t>
        </is>
      </c>
      <c r="D21" s="9" t="n"/>
      <c r="E21" s="10" t="n"/>
      <c r="F21" s="11" t="n"/>
    </row>
    <row r="22">
      <c r="A22" s="6" t="n">
        <v>18</v>
      </c>
      <c r="B22" s="7" t="inlineStr">
        <is>
          <t>Lorenzo Nunes</t>
        </is>
      </c>
      <c r="C22" s="8" t="inlineStr">
        <is>
          <t>Não</t>
        </is>
      </c>
      <c r="D22" s="9" t="n"/>
      <c r="E22" s="10" t="n"/>
      <c r="F22" s="11" t="n"/>
    </row>
    <row r="23">
      <c r="A23" s="6" t="n">
        <v>19</v>
      </c>
      <c r="B23" s="7" t="inlineStr">
        <is>
          <t>Lucas Loyola</t>
        </is>
      </c>
      <c r="C23" s="8" t="inlineStr">
        <is>
          <t>Não</t>
        </is>
      </c>
      <c r="D23" s="9" t="n"/>
      <c r="E23" s="10" t="n"/>
      <c r="F23" s="11" t="n"/>
    </row>
    <row r="24">
      <c r="A24" s="6" t="n">
        <v>20</v>
      </c>
      <c r="B24" s="7" t="inlineStr">
        <is>
          <t>Lucas Varejão</t>
        </is>
      </c>
      <c r="C24" s="8" t="inlineStr">
        <is>
          <t>Não</t>
        </is>
      </c>
      <c r="D24" s="9" t="n"/>
      <c r="E24" s="10" t="n"/>
      <c r="F24" s="11" t="n"/>
    </row>
    <row r="25">
      <c r="A25" s="6" t="n">
        <v>21</v>
      </c>
      <c r="B25" s="7" t="inlineStr">
        <is>
          <t>Luiza Goes</t>
        </is>
      </c>
      <c r="C25" s="8" t="inlineStr">
        <is>
          <t>Não</t>
        </is>
      </c>
      <c r="D25" s="9" t="n"/>
      <c r="E25" s="10" t="n"/>
      <c r="F25" s="11" t="n"/>
    </row>
    <row r="26">
      <c r="A26" s="6" t="n">
        <v>22</v>
      </c>
      <c r="B26" s="7" t="inlineStr">
        <is>
          <t>Maian Costa</t>
        </is>
      </c>
      <c r="C26" s="8" t="inlineStr">
        <is>
          <t>Não</t>
        </is>
      </c>
      <c r="D26" s="9" t="n"/>
      <c r="E26" s="10" t="n"/>
      <c r="F26" s="11" t="n"/>
    </row>
    <row r="27">
      <c r="A27" s="6" t="n">
        <v>23</v>
      </c>
      <c r="B27" s="7" t="inlineStr">
        <is>
          <t>Maria Clara Bispo</t>
        </is>
      </c>
      <c r="C27" s="8" t="inlineStr">
        <is>
          <t>Não</t>
        </is>
      </c>
      <c r="D27" s="9" t="n"/>
      <c r="E27" s="10" t="n"/>
      <c r="F27" s="11" t="n"/>
    </row>
    <row r="28">
      <c r="A28" s="6" t="n">
        <v>24</v>
      </c>
      <c r="B28" s="7" t="inlineStr">
        <is>
          <t>Maria Clara França</t>
        </is>
      </c>
      <c r="C28" s="8" t="inlineStr">
        <is>
          <t>Não</t>
        </is>
      </c>
      <c r="D28" s="9" t="n"/>
      <c r="E28" s="10" t="n"/>
      <c r="F28" s="11" t="n"/>
    </row>
    <row r="29">
      <c r="A29" s="6" t="n">
        <v>25</v>
      </c>
      <c r="B29" s="7" t="inlineStr">
        <is>
          <t>Maria Eduarda Barroso</t>
        </is>
      </c>
      <c r="C29" s="8" t="inlineStr">
        <is>
          <t>Não</t>
        </is>
      </c>
      <c r="D29" s="9" t="n"/>
      <c r="E29" s="10" t="n"/>
      <c r="F29" s="11" t="n"/>
    </row>
    <row r="30">
      <c r="A30" s="6" t="n">
        <v>26</v>
      </c>
      <c r="B30" s="7" t="inlineStr">
        <is>
          <t>Maria Luiza Pires</t>
        </is>
      </c>
      <c r="C30" s="8" t="inlineStr">
        <is>
          <t>Não</t>
        </is>
      </c>
      <c r="D30" s="9" t="n"/>
      <c r="E30" s="10" t="n"/>
      <c r="F30" s="11" t="n"/>
    </row>
    <row r="31">
      <c r="A31" s="6" t="n">
        <v>27</v>
      </c>
      <c r="B31" s="7" t="inlineStr">
        <is>
          <t>Matheus Veiga</t>
        </is>
      </c>
      <c r="C31" s="8" t="inlineStr">
        <is>
          <t>Não</t>
        </is>
      </c>
      <c r="D31" s="9" t="n"/>
      <c r="E31" s="10" t="n"/>
      <c r="F31" s="11" t="n"/>
    </row>
    <row r="32">
      <c r="A32" s="6" t="n">
        <v>28</v>
      </c>
      <c r="B32" s="7" t="inlineStr">
        <is>
          <t>Pietra Machado</t>
        </is>
      </c>
      <c r="C32" s="8" t="inlineStr">
        <is>
          <t>Não</t>
        </is>
      </c>
      <c r="D32" s="9" t="n"/>
      <c r="E32" s="10" t="n"/>
      <c r="F32" s="11" t="n"/>
    </row>
    <row r="33">
      <c r="A33" s="6" t="n">
        <v>29</v>
      </c>
      <c r="B33" s="7" t="inlineStr">
        <is>
          <t>Raira Gabriela</t>
        </is>
      </c>
      <c r="C33" s="8" t="inlineStr">
        <is>
          <t>Não</t>
        </is>
      </c>
      <c r="D33" s="9" t="n"/>
      <c r="E33" s="10" t="n"/>
      <c r="F33" s="11" t="n"/>
    </row>
    <row r="34">
      <c r="A34" s="6" t="n">
        <v>30</v>
      </c>
      <c r="B34" s="7" t="inlineStr">
        <is>
          <t>Sophia Afonso</t>
        </is>
      </c>
      <c r="C34" s="8" t="inlineStr">
        <is>
          <t>Não</t>
        </is>
      </c>
      <c r="D34" s="9" t="n"/>
      <c r="E34" s="10" t="n"/>
      <c r="F34" s="11" t="n"/>
    </row>
    <row r="35">
      <c r="A35" s="6" t="n">
        <v>31</v>
      </c>
      <c r="B35" s="7" t="inlineStr">
        <is>
          <t>Suellen Bazillio</t>
        </is>
      </c>
      <c r="C35" s="8" t="inlineStr">
        <is>
          <t>Não</t>
        </is>
      </c>
      <c r="D35" s="9" t="n"/>
      <c r="E35" s="10" t="n"/>
      <c r="F35" s="11" t="n"/>
    </row>
    <row r="36">
      <c r="A36" s="6" t="n">
        <v>32</v>
      </c>
      <c r="B36" s="7" t="inlineStr">
        <is>
          <t>Susana Liu</t>
        </is>
      </c>
      <c r="C36" s="8" t="inlineStr">
        <is>
          <t>Não</t>
        </is>
      </c>
      <c r="D36" s="9" t="n"/>
      <c r="E36" s="10" t="n"/>
      <c r="F36" s="11" t="n"/>
    </row>
  </sheetData>
  <autoFilter ref="A4:F36"/>
  <conditionalFormatting sqref="A5:F36">
    <cfRule type="expression" priority="1" dxfId="0">
      <formula>$C5="Sim"</formula>
    </cfRule>
  </conditionalFormatting>
  <conditionalFormatting sqref="C5:C36">
    <cfRule type="expression" priority="2" dxfId="1">
      <formula>$C5="Não"</formula>
    </cfRule>
  </conditionalFormatting>
  <dataValidations count="1">
    <dataValidation sqref="C5:C36" showDropDown="0" showInputMessage="0" showErrorMessage="0" allowBlank="1" errorTitle="Valor inválido" error="Escolha Sim ou Não.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2026-09-26T00:58:31Z</dcterms:created>
  <dcterms:modified xsi:type="dcterms:W3CDTF">2026-09-26T00:58:31Z</dcterms:modified>
</cp:coreProperties>
</file>